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Download\Excel\Tiên lục 2\"/>
    </mc:Choice>
  </mc:AlternateContent>
  <xr:revisionPtr revIDLastSave="0" documentId="13_ncr:1_{8371E219-1956-40EF-BD50-35CF6288B84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rung tâm" sheetId="1" r:id="rId1"/>
    <sheet name="Phân hiệu 1 (Nghĩa Hưng)" sheetId="6" r:id="rId2"/>
    <sheet name="Phân hiệu 2 (An Hà)" sheetId="7" r:id="rId3"/>
    <sheet name="Tổng hợp chung" sheetId="8" r:id="rId4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8" l="1"/>
  <c r="F7" i="8" s="1"/>
  <c r="D8" i="8"/>
  <c r="F8" i="8" s="1"/>
  <c r="D6" i="8"/>
  <c r="F6" i="8" s="1"/>
  <c r="F8" i="7"/>
  <c r="F7" i="7"/>
  <c r="F6" i="7"/>
  <c r="F8" i="6"/>
  <c r="F7" i="6"/>
  <c r="F6" i="6"/>
  <c r="F9" i="8" l="1"/>
  <c r="F9" i="7"/>
  <c r="F9" i="6"/>
  <c r="F10" i="6" l="1"/>
  <c r="F10" i="7"/>
  <c r="F10" i="8"/>
  <c r="F6" i="1"/>
  <c r="F7" i="1"/>
  <c r="F8" i="1"/>
  <c r="F9" i="1" l="1"/>
  <c r="F10" i="1" l="1"/>
  <c r="F13" i="8" s="1"/>
</calcChain>
</file>

<file path=xl/sharedStrings.xml><?xml version="1.0" encoding="utf-8"?>
<sst xmlns="http://schemas.openxmlformats.org/spreadsheetml/2006/main" count="61" uniqueCount="19">
  <si>
    <t>Tên hàng</t>
  </si>
  <si>
    <t>ĐVT</t>
  </si>
  <si>
    <t>Số lượng</t>
  </si>
  <si>
    <t>Đơn giá</t>
  </si>
  <si>
    <t>Thành tiền công nợ</t>
  </si>
  <si>
    <t>kg</t>
  </si>
  <si>
    <t>Tổng cộng</t>
  </si>
  <si>
    <t>STT</t>
  </si>
  <si>
    <t xml:space="preserve">Thành tiền </t>
  </si>
  <si>
    <t>TRƯỜNG MN TIÊN LỤC SỐ 2 (GV)( Phân hiệu 2-An Hà)</t>
  </si>
  <si>
    <t>TRƯỜNG MN TIÊN LỤC SỐ 2 (GV) (Phân hiệu 1 - Nghĩa Hưng)</t>
  </si>
  <si>
    <t>TRƯỜNG MN TIÊN LỤC SỐ 2 (GV) (Khu Trung tâm)</t>
  </si>
  <si>
    <t xml:space="preserve">TRƯỜNG MN TIÊN LỤC SỐ 2 (Giáo viên) </t>
  </si>
  <si>
    <t>Rau Nhà trường có</t>
  </si>
  <si>
    <t>tập</t>
  </si>
  <si>
    <t>Thịt lợn luộc</t>
  </si>
  <si>
    <t>Lạc rang</t>
  </si>
  <si>
    <t>NGÀY 01 THÁNG 10 NĂM 2026</t>
  </si>
  <si>
    <t>Rau muống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</si>
</sst>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5" fillId="2" borderId="1" xfId="1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1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 wrapText="1"/>
    </xf>
    <xf numFmtId="164" fontId="6" fillId="4" borderId="1" xfId="1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5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center"/>
    </xf>
    <xf numFmtId="164" fontId="5" fillId="0" borderId="1" xfId="1" applyNumberFormat="1" applyFont="1" applyBorder="1"/>
    <xf numFmtId="0" fontId="8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wrapText="1"/>
    </xf>
    <xf numFmtId="164" fontId="5" fillId="4" borderId="1" xfId="1" applyNumberFormat="1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wrapText="1"/>
    </xf>
    <xf numFmtId="164" fontId="5" fillId="2" borderId="1" xfId="1" applyNumberFormat="1" applyFont="1" applyFill="1" applyBorder="1"/>
    <xf numFmtId="0" fontId="10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1"/>
  <sheetViews>
    <sheetView tabSelected="1" topLeftCell="A2" workbookViewId="0">
      <selection activeCell="G8" sqref="G8:H8"/>
    </sheetView>
  </sheetViews>
  <sheetFormatPr defaultRowHeight="17.25" customHeight="1" x14ac:dyDescent="0.25"/>
  <cols>
    <col min="1" max="1" width="6.5703125" style="12" customWidth="1"/>
    <col min="2" max="2" width="19.5703125" style="17" customWidth="1"/>
    <col min="3" max="3" width="7.42578125" style="12" customWidth="1"/>
    <col min="4" max="4" width="9" style="12" customWidth="1"/>
    <col min="5" max="5" width="14.85546875" style="12" customWidth="1"/>
    <col min="6" max="6" width="17.85546875" style="12" customWidth="1"/>
    <col min="7" max="7" width="11.28515625" style="12" customWidth="1"/>
    <col min="8" max="16384" width="9.140625" style="12"/>
  </cols>
  <sheetData>
    <row r="3" spans="1:9" ht="20.25" customHeight="1" x14ac:dyDescent="0.25">
      <c r="A3" s="40" t="s">
        <v>11</v>
      </c>
      <c r="B3" s="40"/>
      <c r="C3" s="40"/>
      <c r="D3" s="40"/>
      <c r="E3" s="40"/>
      <c r="F3" s="40"/>
    </row>
    <row r="4" spans="1:9" ht="30.75" customHeight="1" x14ac:dyDescent="0.25">
      <c r="B4" s="19" t="s">
        <v>17</v>
      </c>
    </row>
    <row r="5" spans="1:9" ht="42" customHeight="1" x14ac:dyDescent="0.25">
      <c r="A5" s="1" t="s">
        <v>7</v>
      </c>
      <c r="B5" s="18" t="s">
        <v>0</v>
      </c>
      <c r="C5" s="2" t="s">
        <v>1</v>
      </c>
      <c r="D5" s="3" t="s">
        <v>2</v>
      </c>
      <c r="E5" s="4" t="s">
        <v>3</v>
      </c>
      <c r="F5" s="11" t="s">
        <v>4</v>
      </c>
    </row>
    <row r="6" spans="1:9" s="21" customFormat="1" ht="34.5" customHeight="1" x14ac:dyDescent="0.25">
      <c r="A6" s="24">
        <v>1</v>
      </c>
      <c r="B6" s="31" t="s">
        <v>15</v>
      </c>
      <c r="C6" s="25" t="s">
        <v>5</v>
      </c>
      <c r="D6" s="32">
        <v>4.3</v>
      </c>
      <c r="E6" s="33">
        <v>120000</v>
      </c>
      <c r="F6" s="20">
        <f>D6*E6</f>
        <v>516000</v>
      </c>
    </row>
    <row r="7" spans="1:9" s="21" customFormat="1" ht="25.5" customHeight="1" x14ac:dyDescent="0.25">
      <c r="A7" s="24">
        <v>2</v>
      </c>
      <c r="B7" s="31" t="s">
        <v>16</v>
      </c>
      <c r="C7" s="25" t="s">
        <v>5</v>
      </c>
      <c r="D7" s="32">
        <v>1.1000000000000001</v>
      </c>
      <c r="E7" s="33">
        <v>70000</v>
      </c>
      <c r="F7" s="20">
        <f t="shared" ref="F7:F9" si="0">D7*E7</f>
        <v>77000</v>
      </c>
    </row>
    <row r="8" spans="1:9" s="29" customFormat="1" ht="25.5" customHeight="1" x14ac:dyDescent="0.25">
      <c r="A8" s="26">
        <v>3</v>
      </c>
      <c r="B8" s="35" t="s">
        <v>18</v>
      </c>
      <c r="C8" s="27" t="s">
        <v>14</v>
      </c>
      <c r="D8" s="32">
        <v>0</v>
      </c>
      <c r="E8" s="36">
        <v>20000</v>
      </c>
      <c r="F8" s="28">
        <f t="shared" si="0"/>
        <v>0</v>
      </c>
      <c r="G8" s="43" t="s">
        <v>13</v>
      </c>
      <c r="H8" s="44"/>
      <c r="I8" s="30"/>
    </row>
    <row r="9" spans="1:9" ht="25.5" customHeight="1" x14ac:dyDescent="0.25">
      <c r="A9" s="5"/>
      <c r="B9" s="6"/>
      <c r="C9" s="7"/>
      <c r="D9" s="8"/>
      <c r="E9" s="9"/>
      <c r="F9" s="13">
        <f t="shared" si="0"/>
        <v>0</v>
      </c>
      <c r="G9" s="22"/>
    </row>
    <row r="10" spans="1:9" ht="30.75" customHeight="1" x14ac:dyDescent="0.25">
      <c r="A10" s="41" t="s">
        <v>6</v>
      </c>
      <c r="B10" s="42"/>
      <c r="C10" s="10"/>
      <c r="D10" s="14"/>
      <c r="E10" s="15"/>
      <c r="F10" s="16">
        <f>SUM(F6:F9)</f>
        <v>593000</v>
      </c>
      <c r="G10" s="22"/>
    </row>
    <row r="11" spans="1:9" ht="17.25" customHeight="1" x14ac:dyDescent="0.25">
      <c r="A11" s="22"/>
      <c r="B11" s="23"/>
      <c r="C11" s="22"/>
      <c r="D11" s="22"/>
      <c r="E11" s="22"/>
      <c r="F11" s="22"/>
      <c r="G11" s="22"/>
    </row>
  </sheetData>
  <mergeCells count="3">
    <mergeCell ref="A3:F3"/>
    <mergeCell ref="A10:B10"/>
    <mergeCell ref="G8:H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11"/>
  <sheetViews>
    <sheetView topLeftCell="A4" workbookViewId="0">
      <selection activeCell="B8" sqref="B8"/>
    </sheetView>
  </sheetViews>
  <sheetFormatPr defaultRowHeight="17.25" customHeight="1" x14ac:dyDescent="0.25"/>
  <cols>
    <col min="1" max="1" width="6.5703125" style="12" customWidth="1"/>
    <col min="2" max="2" width="17.28515625" style="17" customWidth="1"/>
    <col min="3" max="3" width="12.140625" style="12" customWidth="1"/>
    <col min="4" max="4" width="13" style="12" customWidth="1"/>
    <col min="5" max="5" width="11.28515625" style="12" customWidth="1"/>
    <col min="6" max="6" width="18.42578125" style="12" customWidth="1"/>
    <col min="7" max="7" width="11.28515625" style="12" customWidth="1"/>
    <col min="8" max="16384" width="9.140625" style="12"/>
  </cols>
  <sheetData>
    <row r="3" spans="1:7" ht="17.25" customHeight="1" x14ac:dyDescent="0.25">
      <c r="A3" s="45" t="s">
        <v>10</v>
      </c>
      <c r="B3" s="45"/>
      <c r="C3" s="45"/>
      <c r="D3" s="45"/>
      <c r="E3" s="45"/>
      <c r="F3" s="45"/>
    </row>
    <row r="4" spans="1:7" ht="30.75" customHeight="1" x14ac:dyDescent="0.25">
      <c r="B4" s="19" t="s">
        <v>17</v>
      </c>
    </row>
    <row r="5" spans="1:7" ht="42" customHeight="1" x14ac:dyDescent="0.25">
      <c r="A5" s="1" t="s">
        <v>7</v>
      </c>
      <c r="B5" s="18" t="s">
        <v>0</v>
      </c>
      <c r="C5" s="2" t="s">
        <v>1</v>
      </c>
      <c r="D5" s="3" t="s">
        <v>2</v>
      </c>
      <c r="E5" s="4" t="s">
        <v>3</v>
      </c>
      <c r="F5" s="11" t="s">
        <v>4</v>
      </c>
    </row>
    <row r="6" spans="1:7" s="21" customFormat="1" ht="36.75" customHeight="1" x14ac:dyDescent="0.25">
      <c r="A6" s="24">
        <v>1</v>
      </c>
      <c r="B6" s="31" t="s">
        <v>15</v>
      </c>
      <c r="C6" s="25" t="s">
        <v>5</v>
      </c>
      <c r="D6" s="37">
        <v>2.8</v>
      </c>
      <c r="E6" s="33">
        <v>120000</v>
      </c>
      <c r="F6" s="20">
        <f>D6*E6</f>
        <v>336000</v>
      </c>
    </row>
    <row r="7" spans="1:7" s="21" customFormat="1" ht="26.25" customHeight="1" x14ac:dyDescent="0.25">
      <c r="A7" s="24">
        <v>2</v>
      </c>
      <c r="B7" s="31" t="s">
        <v>16</v>
      </c>
      <c r="C7" s="25" t="s">
        <v>5</v>
      </c>
      <c r="D7" s="37">
        <v>0.8</v>
      </c>
      <c r="E7" s="33">
        <v>70000</v>
      </c>
      <c r="F7" s="20">
        <f t="shared" ref="F7:F8" si="0">D7*E7</f>
        <v>56000</v>
      </c>
    </row>
    <row r="8" spans="1:7" s="21" customFormat="1" ht="26.25" customHeight="1" x14ac:dyDescent="0.25">
      <c r="A8" s="24">
        <v>3</v>
      </c>
      <c r="B8" s="38" t="s">
        <v>18</v>
      </c>
      <c r="C8" s="25" t="s">
        <v>5</v>
      </c>
      <c r="D8" s="37">
        <v>2</v>
      </c>
      <c r="E8" s="39">
        <v>20000</v>
      </c>
      <c r="F8" s="20">
        <f t="shared" si="0"/>
        <v>40000</v>
      </c>
    </row>
    <row r="9" spans="1:7" ht="26.25" customHeight="1" x14ac:dyDescent="0.25">
      <c r="A9" s="5"/>
      <c r="B9" s="6"/>
      <c r="C9" s="7"/>
      <c r="D9" s="8"/>
      <c r="E9" s="9"/>
      <c r="F9" s="13">
        <f t="shared" ref="F9" si="1">D9*E9</f>
        <v>0</v>
      </c>
      <c r="G9" s="22"/>
    </row>
    <row r="10" spans="1:7" ht="30.75" customHeight="1" x14ac:dyDescent="0.25">
      <c r="A10" s="41" t="s">
        <v>6</v>
      </c>
      <c r="B10" s="42"/>
      <c r="C10" s="10"/>
      <c r="D10" s="14"/>
      <c r="E10" s="15"/>
      <c r="F10" s="16">
        <f>SUM(F6:F9)</f>
        <v>432000</v>
      </c>
      <c r="G10" s="22"/>
    </row>
    <row r="11" spans="1:7" ht="17.25" customHeight="1" x14ac:dyDescent="0.25">
      <c r="A11" s="22"/>
      <c r="B11" s="23"/>
      <c r="C11" s="22"/>
      <c r="D11" s="22"/>
      <c r="E11" s="22"/>
      <c r="F11" s="22"/>
      <c r="G11" s="22"/>
    </row>
  </sheetData>
  <mergeCells count="2">
    <mergeCell ref="A10:B10"/>
    <mergeCell ref="A3:F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11"/>
  <sheetViews>
    <sheetView topLeftCell="A4" workbookViewId="0">
      <selection activeCell="B8" sqref="B8"/>
    </sheetView>
  </sheetViews>
  <sheetFormatPr defaultRowHeight="17.25" customHeight="1" x14ac:dyDescent="0.25"/>
  <cols>
    <col min="1" max="1" width="6.5703125" style="12" customWidth="1"/>
    <col min="2" max="2" width="17.28515625" style="17" customWidth="1"/>
    <col min="3" max="3" width="11" style="12" customWidth="1"/>
    <col min="4" max="4" width="11.42578125" style="12" customWidth="1"/>
    <col min="5" max="6" width="14.28515625" style="12" customWidth="1"/>
    <col min="7" max="7" width="11.28515625" style="12" customWidth="1"/>
    <col min="8" max="16384" width="9.140625" style="12"/>
  </cols>
  <sheetData>
    <row r="3" spans="1:7" ht="17.25" customHeight="1" x14ac:dyDescent="0.25">
      <c r="A3" s="40" t="s">
        <v>9</v>
      </c>
      <c r="B3" s="40"/>
      <c r="C3" s="40"/>
      <c r="D3" s="40"/>
      <c r="E3" s="40"/>
      <c r="F3" s="40"/>
    </row>
    <row r="4" spans="1:7" ht="30.75" customHeight="1" x14ac:dyDescent="0.25">
      <c r="B4" s="19" t="s">
        <v>17</v>
      </c>
    </row>
    <row r="5" spans="1:7" ht="42" customHeight="1" x14ac:dyDescent="0.25">
      <c r="A5" s="1" t="s">
        <v>7</v>
      </c>
      <c r="B5" s="18" t="s">
        <v>0</v>
      </c>
      <c r="C5" s="2" t="s">
        <v>1</v>
      </c>
      <c r="D5" s="3" t="s">
        <v>2</v>
      </c>
      <c r="E5" s="4" t="s">
        <v>3</v>
      </c>
      <c r="F5" s="11" t="s">
        <v>4</v>
      </c>
    </row>
    <row r="6" spans="1:7" s="34" customFormat="1" ht="27" customHeight="1" x14ac:dyDescent="0.25">
      <c r="A6" s="24">
        <v>1</v>
      </c>
      <c r="B6" s="31" t="s">
        <v>15</v>
      </c>
      <c r="C6" s="25" t="s">
        <v>5</v>
      </c>
      <c r="D6" s="37">
        <v>3.5</v>
      </c>
      <c r="E6" s="33">
        <v>120000</v>
      </c>
      <c r="F6" s="20">
        <f>D6*E6</f>
        <v>420000</v>
      </c>
    </row>
    <row r="7" spans="1:7" s="34" customFormat="1" ht="27" customHeight="1" x14ac:dyDescent="0.25">
      <c r="A7" s="24">
        <v>2</v>
      </c>
      <c r="B7" s="31" t="s">
        <v>16</v>
      </c>
      <c r="C7" s="25" t="s">
        <v>5</v>
      </c>
      <c r="D7" s="37">
        <v>1</v>
      </c>
      <c r="E7" s="33">
        <v>70000</v>
      </c>
      <c r="F7" s="20">
        <f t="shared" ref="F7:F8" si="0">D7*E7</f>
        <v>70000</v>
      </c>
    </row>
    <row r="8" spans="1:7" s="34" customFormat="1" ht="27" customHeight="1" x14ac:dyDescent="0.25">
      <c r="A8" s="24">
        <v>3</v>
      </c>
      <c r="B8" s="38" t="s">
        <v>18</v>
      </c>
      <c r="C8" s="25" t="s">
        <v>14</v>
      </c>
      <c r="D8" s="37">
        <v>2.7</v>
      </c>
      <c r="E8" s="39">
        <v>20000</v>
      </c>
      <c r="F8" s="20">
        <f t="shared" si="0"/>
        <v>54000</v>
      </c>
    </row>
    <row r="9" spans="1:7" ht="27" customHeight="1" x14ac:dyDescent="0.25">
      <c r="A9" s="5"/>
      <c r="B9" s="6"/>
      <c r="C9" s="7"/>
      <c r="D9" s="8"/>
      <c r="E9" s="9"/>
      <c r="F9" s="13">
        <f t="shared" ref="F9" si="1">D9*E9</f>
        <v>0</v>
      </c>
      <c r="G9" s="22"/>
    </row>
    <row r="10" spans="1:7" ht="30.75" customHeight="1" x14ac:dyDescent="0.25">
      <c r="A10" s="41" t="s">
        <v>6</v>
      </c>
      <c r="B10" s="42"/>
      <c r="C10" s="10"/>
      <c r="D10" s="14"/>
      <c r="E10" s="15"/>
      <c r="F10" s="16">
        <f>SUM(F6:F9)</f>
        <v>544000</v>
      </c>
      <c r="G10" s="22"/>
    </row>
    <row r="11" spans="1:7" ht="17.25" customHeight="1" x14ac:dyDescent="0.25">
      <c r="A11" s="22"/>
      <c r="B11" s="23"/>
      <c r="C11" s="22"/>
      <c r="D11" s="22"/>
      <c r="E11" s="22"/>
      <c r="F11" s="22"/>
      <c r="G11" s="22"/>
    </row>
  </sheetData>
  <mergeCells count="2">
    <mergeCell ref="A10:B10"/>
    <mergeCell ref="A3:F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G13"/>
  <sheetViews>
    <sheetView topLeftCell="A7" workbookViewId="0">
      <selection activeCell="G6" sqref="G6"/>
    </sheetView>
  </sheetViews>
  <sheetFormatPr defaultRowHeight="17.25" customHeight="1" x14ac:dyDescent="0.25"/>
  <cols>
    <col min="1" max="1" width="6.5703125" style="12" customWidth="1"/>
    <col min="2" max="2" width="17.28515625" style="17" customWidth="1"/>
    <col min="3" max="3" width="11" style="12" customWidth="1"/>
    <col min="4" max="4" width="11.5703125" style="12" customWidth="1"/>
    <col min="5" max="5" width="13" style="12" customWidth="1"/>
    <col min="6" max="6" width="18.7109375" style="12" customWidth="1"/>
    <col min="7" max="7" width="11.28515625" style="12" customWidth="1"/>
    <col min="8" max="16384" width="9.140625" style="12"/>
  </cols>
  <sheetData>
    <row r="3" spans="1:7" ht="17.25" customHeight="1" x14ac:dyDescent="0.25">
      <c r="A3" s="45" t="s">
        <v>12</v>
      </c>
      <c r="B3" s="45"/>
      <c r="C3" s="45"/>
      <c r="D3" s="45"/>
      <c r="E3" s="45"/>
      <c r="F3" s="45"/>
    </row>
    <row r="4" spans="1:7" ht="30.75" customHeight="1" x14ac:dyDescent="0.25">
      <c r="B4" s="19" t="s">
        <v>17</v>
      </c>
    </row>
    <row r="5" spans="1:7" ht="42" customHeight="1" x14ac:dyDescent="0.25">
      <c r="A5" s="1" t="s">
        <v>7</v>
      </c>
      <c r="B5" s="18" t="s">
        <v>0</v>
      </c>
      <c r="C5" s="2" t="s">
        <v>1</v>
      </c>
      <c r="D5" s="3" t="s">
        <v>2</v>
      </c>
      <c r="E5" s="4" t="s">
        <v>3</v>
      </c>
      <c r="F5" s="11" t="s">
        <v>8</v>
      </c>
    </row>
    <row r="6" spans="1:7" s="34" customFormat="1" ht="30.75" customHeight="1" x14ac:dyDescent="0.25">
      <c r="A6" s="24">
        <v>1</v>
      </c>
      <c r="B6" s="31" t="s">
        <v>15</v>
      </c>
      <c r="C6" s="25" t="s">
        <v>5</v>
      </c>
      <c r="D6" s="32">
        <f>'Trung tâm'!D6+'Phân hiệu 1 (Nghĩa Hưng)'!D6+'Phân hiệu 2 (An Hà)'!D6</f>
        <v>10.6</v>
      </c>
      <c r="E6" s="33">
        <v>120000</v>
      </c>
      <c r="F6" s="20">
        <f>D6*E6</f>
        <v>1272000</v>
      </c>
    </row>
    <row r="7" spans="1:7" s="34" customFormat="1" ht="30.75" customHeight="1" x14ac:dyDescent="0.25">
      <c r="A7" s="24">
        <v>2</v>
      </c>
      <c r="B7" s="31" t="s">
        <v>16</v>
      </c>
      <c r="C7" s="25" t="s">
        <v>5</v>
      </c>
      <c r="D7" s="32">
        <f>'Trung tâm'!D7+'Phân hiệu 1 (Nghĩa Hưng)'!D7+'Phân hiệu 2 (An Hà)'!D7</f>
        <v>2.9000000000000004</v>
      </c>
      <c r="E7" s="33">
        <v>70000</v>
      </c>
      <c r="F7" s="20">
        <f t="shared" ref="F7:F8" si="0">D7*E7</f>
        <v>203000.00000000003</v>
      </c>
    </row>
    <row r="8" spans="1:7" s="34" customFormat="1" ht="30.75" customHeight="1" x14ac:dyDescent="0.25">
      <c r="A8" s="24">
        <v>3</v>
      </c>
      <c r="B8" s="38" t="s">
        <v>18</v>
      </c>
      <c r="C8" s="25" t="s">
        <v>14</v>
      </c>
      <c r="D8" s="32">
        <f>'Trung tâm'!D8+'Phân hiệu 1 (Nghĩa Hưng)'!D8+'Phân hiệu 2 (An Hà)'!D8</f>
        <v>4.7</v>
      </c>
      <c r="E8" s="33">
        <v>20000</v>
      </c>
      <c r="F8" s="20">
        <f t="shared" si="0"/>
        <v>94000</v>
      </c>
    </row>
    <row r="9" spans="1:7" ht="18" customHeight="1" x14ac:dyDescent="0.25">
      <c r="A9" s="5"/>
      <c r="B9" s="6"/>
      <c r="C9" s="7"/>
      <c r="D9" s="8"/>
      <c r="E9" s="9"/>
      <c r="F9" s="13">
        <f t="shared" ref="F9" si="1">D9*E9</f>
        <v>0</v>
      </c>
      <c r="G9" s="22"/>
    </row>
    <row r="10" spans="1:7" ht="30.75" customHeight="1" x14ac:dyDescent="0.25">
      <c r="A10" s="41" t="s">
        <v>6</v>
      </c>
      <c r="B10" s="42"/>
      <c r="C10" s="10"/>
      <c r="D10" s="14"/>
      <c r="E10" s="15"/>
      <c r="F10" s="16">
        <f>SUM(F6:F9)</f>
        <v>1569000</v>
      </c>
      <c r="G10" s="22"/>
    </row>
    <row r="11" spans="1:7" ht="17.25" customHeight="1" x14ac:dyDescent="0.25">
      <c r="A11" s="22"/>
      <c r="B11" s="23"/>
      <c r="C11" s="22"/>
      <c r="D11" s="22"/>
      <c r="E11" s="22"/>
      <c r="F11" s="22"/>
      <c r="G11" s="22"/>
    </row>
    <row r="13" spans="1:7" ht="17.25" customHeight="1" x14ac:dyDescent="0.25">
      <c r="F13" s="12">
        <f>'Trung tâm'!F10+'Phân hiệu 1 (Nghĩa Hưng)'!F10+'Phân hiệu 2 (An Hà)'!F10</f>
        <v>1569000</v>
      </c>
    </row>
  </sheetData>
  <mergeCells count="2">
    <mergeCell ref="A3:F3"/>
    <mergeCell ref="A10:B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Trung tâm</vt:lpstr>
      <vt:lpstr>Phân hiệu 1 (Nghĩa Hưng)</vt:lpstr>
      <vt:lpstr>Phân hiệu 2 (An Hà)</vt:lpstr>
      <vt:lpstr>Tổng hợp chung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2025-11-04T10:31:14Z</dcterms:created>
  <dcterms:modified xsi:type="dcterms:W3CDTF">2026-09-30T15:07:20Z</dcterms:modified>
</cp:coreProperties>
</file>