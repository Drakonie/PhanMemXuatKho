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Download\Excel\"/>
    </mc:Choice>
  </mc:AlternateContent>
  <xr:revisionPtr revIDLastSave="0" documentId="8_{A71786C8-EE75-418D-9822-C3F2A2EC34B4}" xr6:coauthVersionLast="47" xr6:coauthVersionMax="47" xr10:uidLastSave="{00000000-0000-0000-0000-000000000000}"/>
  <bookViews>
    <workbookView xWindow="-120" yWindow="-120" windowWidth="29040" windowHeight="17520" xr2:uid="{9ECFF07D-B9D6-4EE2-B1A2-82A6644EBFF6}"/>
  </bookViews>
  <sheets>
    <sheet name="Khu Đào Mỹ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H12" i="1"/>
  <c r="H13" i="1"/>
  <c r="H14" i="1"/>
  <c r="H15" i="1"/>
  <c r="H16" i="1"/>
  <c r="H17" i="1"/>
  <c r="H27" i="1" s="1"/>
  <c r="H18" i="1"/>
  <c r="H19" i="1"/>
</calcChain>
</file>

<file path=xl/sharedStrings.xml><?xml version="1.0" encoding="utf-8"?>
<sst xmlns="http://schemas.openxmlformats.org/spreadsheetml/2006/main" count="110" uniqueCount="47">
  <si>
    <t>Giám đốc
(Ký, họ tên)</t>
  </si>
  <si>
    <t>Thủ kho
(Ký, họ tên)</t>
  </si>
  <si>
    <t>Người nhận hàng
(Ký, họ tên)</t>
  </si>
  <si>
    <t>Người lập phiếu
(Ký, họ tên)</t>
  </si>
  <si>
    <t>Năm triệu không trăm năm mươi mốt nghìn một trăm đồng.</t>
  </si>
  <si>
    <t>Viết Bằng Chữ:</t>
  </si>
  <si>
    <t>TỔNG CỘNG</t>
  </si>
  <si>
    <t>kg</t>
  </si>
  <si>
    <t>Thịt lợn sấn (mông, vai, thăn)</t>
  </si>
  <si>
    <t>Gạo nếp cái</t>
  </si>
  <si>
    <t>Gừng tươi</t>
  </si>
  <si>
    <t>Cá trắm cỏ</t>
  </si>
  <si>
    <t>Thịt lợn mỡ</t>
  </si>
  <si>
    <t>Dưa hấu</t>
  </si>
  <si>
    <t>Cải ngọt</t>
  </si>
  <si>
    <t>Lạc hạt</t>
  </si>
  <si>
    <t>Ghi chú</t>
  </si>
  <si>
    <t>Thành tiền
(VNĐ)</t>
  </si>
  <si>
    <t>Đơn giá
(VNĐ)</t>
  </si>
  <si>
    <t>Thực xuất</t>
  </si>
  <si>
    <t>Số lượng Yêu cầu</t>
  </si>
  <si>
    <t>ĐVT</t>
  </si>
  <si>
    <t>Mã hàng</t>
  </si>
  <si>
    <t>Tên hàng</t>
  </si>
  <si>
    <t>STT</t>
  </si>
  <si>
    <t>Giao nhận thực phẩm, nguyên liệu đầu vào cho bếp ăn bán trú</t>
  </si>
  <si>
    <t>Nội dung</t>
  </si>
  <si>
    <t>xã Tiên Lục, tỉnh Bắc Ninh</t>
  </si>
  <si>
    <t>Địa chỉ KH</t>
  </si>
  <si>
    <t>Giáo viên</t>
  </si>
  <si>
    <t>Khu Đào Mỹ</t>
  </si>
  <si>
    <t>Người nhận</t>
  </si>
  <si>
    <t>Có: ................................</t>
  </si>
  <si>
    <t>Trường mầm non Tiên Lục 2 (Điểm chính - Khu Đào Mỹ)</t>
  </si>
  <si>
    <t>Khách hàng</t>
  </si>
  <si>
    <t>Nợ: ................................</t>
  </si>
  <si>
    <t>Ngày xuất</t>
  </si>
  <si>
    <t>Số phiếu xuất</t>
  </si>
  <si>
    <t>PHIẾU XUẤT KHO</t>
  </si>
  <si>
    <t>Bộ phận : Kho</t>
  </si>
  <si>
    <t>Email: congtytnhhtmdvhuyenanh68.01@gmail.com</t>
  </si>
  <si>
    <t>Điện thoại: 035518266 - Email: congtytnhhtmdvhuyenanh68.01@gmail.com</t>
  </si>
  <si>
    <t>(Ban hành theo Thông tư số 133/2016/TT-BTC 
ngày 26/8/2016 của Bộ Tài chính)</t>
  </si>
  <si>
    <t>Mã số thuế: 2400897331</t>
  </si>
  <si>
    <t>Địa chỉ: Tổ dân phố Tam Hưng, Phường Bố Hạ, tỉnh Bắc Ninh</t>
  </si>
  <si>
    <t>Mẫu số 02 - VT</t>
  </si>
  <si>
    <t>CÔNG TY TNHH TM DV HUYỀN AN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</si>
</sst>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"/>
  </numFmts>
  <fonts count="6">
    <font>
      <sz val="11"/>
      <name val="Carlito"/>
    </font>
    <font>
      <b/>
      <sz val="10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sz val="18"/>
      <color rgb="FF000000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3" fontId="3" fillId="2" borderId="1" xfId="0" applyNumberFormat="1" applyFont="1" applyFill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3475-641F-4AA3-9FEB-C7DEB4A39405}">
  <dimension ref="A1:I32"/>
  <sheetViews>
    <sheetView showGridLines="0" tabSelected="1" workbookViewId="0">
      <selection activeCell="B9" sqref="B9:I9"/>
    </sheetView>
  </sheetViews>
  <sheetFormatPr defaultRowHeight="14.25"/>
  <cols>
    <col min="1" max="1" width="15" customWidth="1"/>
    <col min="2" max="2" width="34" customWidth="1"/>
    <col min="3" max="3" width="12" customWidth="1"/>
    <col min="4" max="4" width="10" customWidth="1"/>
    <col min="5" max="5" width="11" customWidth="1"/>
    <col min="6" max="6" width="12" customWidth="1"/>
    <col min="7" max="7" width="16" customWidth="1"/>
    <col min="8" max="8" width="18" customWidth="1"/>
    <col min="9" max="9" width="21" customWidth="1"/>
  </cols>
  <sheetData>
    <row r="1" spans="1:9" ht="21" customHeight="1">
      <c r="A1" s="16" t="s">
        <v>46</v>
      </c>
      <c r="B1" s="16" t="s">
        <v>46</v>
      </c>
      <c r="C1" s="16" t="s">
        <v>46</v>
      </c>
      <c r="D1" s="16" t="s">
        <v>46</v>
      </c>
      <c r="E1" s="16" t="s">
        <v>46</v>
      </c>
      <c r="F1" s="16" t="s">
        <v>46</v>
      </c>
      <c r="G1" s="16" t="s">
        <v>46</v>
      </c>
      <c r="H1" s="15" t="s">
        <v>45</v>
      </c>
      <c r="I1" s="15" t="s">
        <v>45</v>
      </c>
    </row>
    <row r="2" spans="1:9" ht="21" customHeight="1">
      <c r="A2" s="3" t="s">
        <v>44</v>
      </c>
      <c r="B2" s="3" t="s">
        <v>44</v>
      </c>
      <c r="C2" s="3" t="s">
        <v>44</v>
      </c>
      <c r="D2" s="3" t="s">
        <v>44</v>
      </c>
      <c r="E2" s="3" t="s">
        <v>44</v>
      </c>
      <c r="F2" s="3" t="s">
        <v>44</v>
      </c>
      <c r="G2" s="3" t="s">
        <v>44</v>
      </c>
      <c r="H2" s="15" t="s">
        <v>42</v>
      </c>
      <c r="I2" s="15" t="s">
        <v>42</v>
      </c>
    </row>
    <row r="3" spans="1:9" ht="21" customHeight="1">
      <c r="A3" s="3" t="s">
        <v>43</v>
      </c>
      <c r="B3" s="3" t="s">
        <v>43</v>
      </c>
      <c r="C3" s="3" t="s">
        <v>43</v>
      </c>
      <c r="D3" s="3"/>
      <c r="E3" s="3"/>
      <c r="F3" s="3"/>
      <c r="G3" s="3"/>
      <c r="H3" s="15" t="s">
        <v>42</v>
      </c>
      <c r="I3" s="15" t="s">
        <v>42</v>
      </c>
    </row>
    <row r="4" spans="1:9" ht="21" customHeight="1">
      <c r="A4" s="3" t="s">
        <v>41</v>
      </c>
      <c r="B4" s="3" t="s">
        <v>40</v>
      </c>
      <c r="C4" s="3" t="s">
        <v>40</v>
      </c>
      <c r="D4" s="3" t="s">
        <v>40</v>
      </c>
      <c r="E4" s="3" t="s">
        <v>40</v>
      </c>
      <c r="F4" s="3" t="s">
        <v>40</v>
      </c>
      <c r="G4" s="3" t="s">
        <v>40</v>
      </c>
      <c r="H4" s="15" t="s">
        <v>39</v>
      </c>
      <c r="I4" s="15" t="s">
        <v>39</v>
      </c>
    </row>
    <row r="5" spans="1:9" ht="36" customHeight="1">
      <c r="A5" s="14" t="s">
        <v>38</v>
      </c>
      <c r="B5" s="14" t="s">
        <v>38</v>
      </c>
      <c r="C5" s="14" t="s">
        <v>38</v>
      </c>
      <c r="D5" s="14" t="s">
        <v>38</v>
      </c>
      <c r="E5" s="14" t="s">
        <v>38</v>
      </c>
      <c r="F5" s="14" t="s">
        <v>38</v>
      </c>
      <c r="G5" s="14" t="s">
        <v>38</v>
      </c>
      <c r="H5" s="14" t="s">
        <v>38</v>
      </c>
      <c r="I5" s="14" t="s">
        <v>38</v>
      </c>
    </row>
    <row r="6" spans="1:9" ht="21" customHeight="1">
      <c r="A6" s="2" t="s">
        <v>37</v>
      </c>
      <c r="B6" s="3"/>
      <c r="C6" s="3"/>
      <c r="D6" s="2" t="s">
        <v>36</v>
      </c>
      <c r="E6" s="13">
        <v>46296</v>
      </c>
      <c r="F6" s="13">
        <v>46296</v>
      </c>
      <c r="G6" s="13">
        <v>46296</v>
      </c>
      <c r="H6" s="3" t="s">
        <v>35</v>
      </c>
      <c r="I6" s="3" t="s">
        <v>35</v>
      </c>
    </row>
    <row r="7" spans="1:9" ht="21" customHeight="1">
      <c r="A7" s="2" t="s">
        <v>34</v>
      </c>
      <c r="B7" s="12" t="str">
        <f>+"Trường mầm non Tiên Lục số 1 - "&amp;B8</f>
        <v>Trường mầm non Tiên Lục số 1 - Khu Đào Mỹ</v>
      </c>
      <c r="C7" s="12" t="s">
        <v>33</v>
      </c>
      <c r="D7" s="12" t="s">
        <v>33</v>
      </c>
      <c r="E7" s="12" t="s">
        <v>33</v>
      </c>
      <c r="F7" s="12" t="s">
        <v>33</v>
      </c>
      <c r="G7" s="12" t="s">
        <v>33</v>
      </c>
      <c r="H7" s="3" t="s">
        <v>32</v>
      </c>
      <c r="I7" s="3" t="s">
        <v>32</v>
      </c>
    </row>
    <row r="8" spans="1:9" ht="21" customHeight="1">
      <c r="A8" s="2" t="s">
        <v>31</v>
      </c>
      <c r="B8" s="12" t="s">
        <v>30</v>
      </c>
      <c r="C8" s="12" t="s">
        <v>29</v>
      </c>
      <c r="D8" s="12" t="s">
        <v>29</v>
      </c>
      <c r="E8" s="12" t="s">
        <v>29</v>
      </c>
      <c r="F8" s="12" t="s">
        <v>29</v>
      </c>
      <c r="G8" s="12" t="s">
        <v>29</v>
      </c>
      <c r="H8" s="2"/>
      <c r="I8" s="2"/>
    </row>
    <row r="9" spans="1:9" ht="21" customHeight="1">
      <c r="A9" s="2" t="s">
        <v>28</v>
      </c>
      <c r="B9" s="12" t="s">
        <v>27</v>
      </c>
      <c r="C9" s="12" t="s">
        <v>27</v>
      </c>
      <c r="D9" s="12" t="s">
        <v>27</v>
      </c>
      <c r="E9" s="12" t="s">
        <v>27</v>
      </c>
      <c r="F9" s="12" t="s">
        <v>27</v>
      </c>
      <c r="G9" s="12" t="s">
        <v>27</v>
      </c>
      <c r="H9" s="3" t="s">
        <v>27</v>
      </c>
      <c r="I9" s="3" t="s">
        <v>27</v>
      </c>
    </row>
    <row r="10" spans="1:9" ht="30" customHeight="1">
      <c r="A10" s="2" t="s">
        <v>26</v>
      </c>
      <c r="B10" s="12" t="s">
        <v>25</v>
      </c>
      <c r="C10" s="12" t="s">
        <v>25</v>
      </c>
      <c r="D10" s="12" t="s">
        <v>25</v>
      </c>
      <c r="E10" s="12" t="s">
        <v>25</v>
      </c>
      <c r="F10" s="12" t="s">
        <v>25</v>
      </c>
      <c r="G10" s="12" t="s">
        <v>25</v>
      </c>
      <c r="H10" s="12" t="s">
        <v>25</v>
      </c>
      <c r="I10" s="12" t="s">
        <v>25</v>
      </c>
    </row>
    <row r="11" spans="1:9" ht="38.1" customHeight="1">
      <c r="A11" s="11" t="s">
        <v>24</v>
      </c>
      <c r="B11" s="11" t="s">
        <v>23</v>
      </c>
      <c r="C11" s="11" t="s">
        <v>22</v>
      </c>
      <c r="D11" s="11" t="s">
        <v>21</v>
      </c>
      <c r="E11" s="11" t="s">
        <v>20</v>
      </c>
      <c r="F11" s="11" t="s">
        <v>19</v>
      </c>
      <c r="G11" s="11" t="s">
        <v>18</v>
      </c>
      <c r="H11" s="11" t="s">
        <v>17</v>
      </c>
      <c r="I11" s="11" t="s">
        <v>16</v>
      </c>
    </row>
    <row r="12" spans="1:9" ht="23.1" customHeight="1">
      <c r="A12" s="9">
        <v>1</v>
      </c>
      <c r="B12" s="7" t="s">
        <v>15</v>
      </c>
      <c r="C12" s="7"/>
      <c r="D12" s="9" t="s">
        <v>7</v>
      </c>
      <c r="E12" s="10">
        <v>1.5</v>
      </c>
      <c r="F12" s="10">
        <v>1.5</v>
      </c>
      <c r="G12" s="8">
        <v>70000</v>
      </c>
      <c r="H12" s="8">
        <f>ROUND(F12*G12,0)</f>
        <v>105000</v>
      </c>
      <c r="I12" s="7"/>
    </row>
    <row r="13" spans="1:9" ht="23.1" customHeight="1">
      <c r="A13" s="9">
        <v>2</v>
      </c>
      <c r="B13" s="7" t="s">
        <v>14</v>
      </c>
      <c r="C13" s="7"/>
      <c r="D13" s="9" t="s">
        <v>7</v>
      </c>
      <c r="E13" s="10">
        <v>10.9</v>
      </c>
      <c r="F13" s="10">
        <v>10.9</v>
      </c>
      <c r="G13" s="8">
        <v>20000</v>
      </c>
      <c r="H13" s="8">
        <f>ROUND(F13*G13,0)</f>
        <v>218000</v>
      </c>
      <c r="I13" s="7"/>
    </row>
    <row r="14" spans="1:9" ht="23.1" customHeight="1">
      <c r="A14" s="9">
        <v>3</v>
      </c>
      <c r="B14" s="7" t="s">
        <v>13</v>
      </c>
      <c r="C14" s="7"/>
      <c r="D14" s="9" t="s">
        <v>7</v>
      </c>
      <c r="E14" s="10">
        <v>28.2</v>
      </c>
      <c r="F14" s="10">
        <v>28.2</v>
      </c>
      <c r="G14" s="8">
        <v>25000</v>
      </c>
      <c r="H14" s="8">
        <f>ROUND(F14*G14,0)</f>
        <v>705000</v>
      </c>
      <c r="I14" s="7"/>
    </row>
    <row r="15" spans="1:9" ht="23.1" customHeight="1">
      <c r="A15" s="9">
        <v>4</v>
      </c>
      <c r="B15" s="7" t="s">
        <v>12</v>
      </c>
      <c r="C15" s="7"/>
      <c r="D15" s="9" t="s">
        <v>7</v>
      </c>
      <c r="E15" s="10">
        <v>0.9</v>
      </c>
      <c r="F15" s="10">
        <v>0.9</v>
      </c>
      <c r="G15" s="8">
        <v>85000</v>
      </c>
      <c r="H15" s="8">
        <f>ROUND(F15*G15,0)</f>
        <v>76500</v>
      </c>
      <c r="I15" s="7"/>
    </row>
    <row r="16" spans="1:9" ht="23.1" customHeight="1">
      <c r="A16" s="9">
        <v>5</v>
      </c>
      <c r="B16" s="7" t="s">
        <v>11</v>
      </c>
      <c r="C16" s="7"/>
      <c r="D16" s="9" t="s">
        <v>7</v>
      </c>
      <c r="E16" s="10">
        <v>25.7</v>
      </c>
      <c r="F16" s="10">
        <v>25.7</v>
      </c>
      <c r="G16" s="8">
        <v>72000</v>
      </c>
      <c r="H16" s="8">
        <f>ROUND(F16*G16,0)</f>
        <v>1850400</v>
      </c>
      <c r="I16" s="7"/>
    </row>
    <row r="17" spans="1:9" ht="23.1" customHeight="1">
      <c r="A17" s="9">
        <v>6</v>
      </c>
      <c r="B17" s="7" t="s">
        <v>10</v>
      </c>
      <c r="C17" s="7"/>
      <c r="D17" s="9" t="s">
        <v>7</v>
      </c>
      <c r="E17" s="10">
        <v>0.7</v>
      </c>
      <c r="F17" s="10">
        <v>0.7</v>
      </c>
      <c r="G17" s="8">
        <v>30000</v>
      </c>
      <c r="H17" s="8">
        <f>ROUND(F17*G17,0)</f>
        <v>21000</v>
      </c>
      <c r="I17" s="7"/>
    </row>
    <row r="18" spans="1:9" ht="23.1" customHeight="1">
      <c r="A18" s="9">
        <v>7</v>
      </c>
      <c r="B18" s="7" t="s">
        <v>9</v>
      </c>
      <c r="C18" s="7"/>
      <c r="D18" s="9" t="s">
        <v>7</v>
      </c>
      <c r="E18" s="10">
        <v>14.8</v>
      </c>
      <c r="F18" s="10">
        <v>14.8</v>
      </c>
      <c r="G18" s="8">
        <v>34000</v>
      </c>
      <c r="H18" s="8">
        <f>ROUND(F18*G18,0)</f>
        <v>503200</v>
      </c>
      <c r="I18" s="7"/>
    </row>
    <row r="19" spans="1:9" ht="23.1" customHeight="1">
      <c r="A19" s="9">
        <v>8</v>
      </c>
      <c r="B19" s="7" t="s">
        <v>8</v>
      </c>
      <c r="C19" s="7"/>
      <c r="D19" s="9" t="s">
        <v>7</v>
      </c>
      <c r="E19" s="10">
        <v>13.1</v>
      </c>
      <c r="F19" s="10">
        <v>13.1</v>
      </c>
      <c r="G19" s="8">
        <v>120000</v>
      </c>
      <c r="H19" s="8">
        <f>ROUND(F19*G19,0)</f>
        <v>1572000</v>
      </c>
      <c r="I19" s="7"/>
    </row>
    <row r="20" spans="1:9" ht="23.1" customHeight="1">
      <c r="A20" s="9"/>
      <c r="B20" s="7"/>
      <c r="C20" s="7"/>
      <c r="D20" s="9"/>
      <c r="E20" s="7"/>
      <c r="F20" s="7"/>
      <c r="G20" s="8"/>
      <c r="H20" s="8"/>
      <c r="I20" s="7"/>
    </row>
    <row r="21" spans="1:9" ht="23.1" customHeight="1">
      <c r="A21" s="9"/>
      <c r="B21" s="7"/>
      <c r="C21" s="7"/>
      <c r="D21" s="9"/>
      <c r="E21" s="7"/>
      <c r="F21" s="7"/>
      <c r="G21" s="8"/>
      <c r="H21" s="8"/>
      <c r="I21" s="7"/>
    </row>
    <row r="22" spans="1:9" ht="23.1" customHeight="1">
      <c r="A22" s="9"/>
      <c r="B22" s="7"/>
      <c r="C22" s="7"/>
      <c r="D22" s="9"/>
      <c r="E22" s="7"/>
      <c r="F22" s="7"/>
      <c r="G22" s="8"/>
      <c r="H22" s="8"/>
      <c r="I22" s="7"/>
    </row>
    <row r="23" spans="1:9" ht="23.1" customHeight="1">
      <c r="A23" s="9"/>
      <c r="B23" s="7"/>
      <c r="C23" s="7"/>
      <c r="D23" s="9"/>
      <c r="E23" s="7"/>
      <c r="F23" s="7"/>
      <c r="G23" s="8"/>
      <c r="H23" s="8"/>
      <c r="I23" s="7"/>
    </row>
    <row r="24" spans="1:9" ht="23.1" customHeight="1">
      <c r="A24" s="9"/>
      <c r="B24" s="7"/>
      <c r="C24" s="7"/>
      <c r="D24" s="9"/>
      <c r="E24" s="7"/>
      <c r="F24" s="7"/>
      <c r="G24" s="8"/>
      <c r="H24" s="8"/>
      <c r="I24" s="7"/>
    </row>
    <row r="25" spans="1:9" ht="23.1" customHeight="1">
      <c r="A25" s="9"/>
      <c r="B25" s="7"/>
      <c r="C25" s="7"/>
      <c r="D25" s="9"/>
      <c r="E25" s="7"/>
      <c r="F25" s="7"/>
      <c r="G25" s="8"/>
      <c r="H25" s="8"/>
      <c r="I25" s="7"/>
    </row>
    <row r="26" spans="1:9" ht="23.1" customHeight="1">
      <c r="A26" s="9"/>
      <c r="B26" s="7"/>
      <c r="C26" s="7"/>
      <c r="D26" s="9"/>
      <c r="E26" s="7"/>
      <c r="F26" s="7"/>
      <c r="G26" s="8"/>
      <c r="H26" s="8"/>
      <c r="I26" s="7"/>
    </row>
    <row r="27" spans="1:9" ht="21" customHeight="1">
      <c r="A27" s="7"/>
      <c r="B27" s="4" t="s">
        <v>6</v>
      </c>
      <c r="C27" s="4"/>
      <c r="D27" s="4"/>
      <c r="E27" s="4"/>
      <c r="F27" s="4"/>
      <c r="G27" s="6"/>
      <c r="H27" s="5">
        <f>SUM(H12:H26)</f>
        <v>5051100</v>
      </c>
      <c r="I27" s="4"/>
    </row>
    <row r="28" spans="1:9" ht="21" customHeight="1">
      <c r="A28" s="2"/>
      <c r="B28" s="2"/>
      <c r="C28" s="2"/>
      <c r="D28" s="2"/>
      <c r="E28" s="2"/>
      <c r="F28" s="2"/>
      <c r="G28" s="2"/>
      <c r="H28" s="2"/>
      <c r="I28" s="2"/>
    </row>
    <row r="29" spans="1:9" ht="21" customHeight="1">
      <c r="A29" s="2" t="s">
        <v>5</v>
      </c>
      <c r="B29" s="3" t="s">
        <v>4</v>
      </c>
      <c r="C29" s="3"/>
      <c r="D29" s="3"/>
      <c r="E29" s="3"/>
      <c r="F29" s="3"/>
      <c r="G29" s="3"/>
      <c r="H29" s="3"/>
      <c r="I29" s="3"/>
    </row>
    <row r="30" spans="1:9" ht="21" customHeight="1">
      <c r="A30" s="2"/>
      <c r="B30" s="2"/>
      <c r="C30" s="2"/>
      <c r="D30" s="2"/>
      <c r="E30" s="2"/>
      <c r="F30" s="2"/>
      <c r="G30" s="2"/>
      <c r="H30" s="2"/>
      <c r="I30" s="2"/>
    </row>
    <row r="31" spans="1:9" ht="21" customHeight="1">
      <c r="A31" s="2"/>
      <c r="B31" s="1" t="s">
        <v>3</v>
      </c>
      <c r="C31" s="1"/>
      <c r="D31" s="1" t="s">
        <v>2</v>
      </c>
      <c r="E31" s="1"/>
      <c r="F31" s="1" t="s">
        <v>1</v>
      </c>
      <c r="G31" s="1"/>
      <c r="H31" s="1" t="s">
        <v>0</v>
      </c>
      <c r="I31" s="1"/>
    </row>
    <row r="32" spans="1:9" ht="21" customHeight="1">
      <c r="A32" s="2"/>
      <c r="B32" s="1"/>
      <c r="C32" s="1"/>
      <c r="D32" s="1"/>
      <c r="E32" s="1"/>
      <c r="F32" s="1"/>
      <c r="G32" s="1"/>
      <c r="H32" s="1"/>
      <c r="I32" s="1"/>
    </row>
  </sheetData>
  <mergeCells count="22">
    <mergeCell ref="A1:G1"/>
    <mergeCell ref="H1:I1"/>
    <mergeCell ref="A2:G2"/>
    <mergeCell ref="H2:I3"/>
    <mergeCell ref="A3:C3"/>
    <mergeCell ref="D3:G3"/>
    <mergeCell ref="A4:G4"/>
    <mergeCell ref="H4:I4"/>
    <mergeCell ref="A5:I5"/>
    <mergeCell ref="B6:C6"/>
    <mergeCell ref="E6:G6"/>
    <mergeCell ref="H6:I6"/>
    <mergeCell ref="B31:C32"/>
    <mergeCell ref="D31:E32"/>
    <mergeCell ref="F31:G32"/>
    <mergeCell ref="H31:I32"/>
    <mergeCell ref="B7:G7"/>
    <mergeCell ref="H7:I7"/>
    <mergeCell ref="B8:G8"/>
    <mergeCell ref="B9:I9"/>
    <mergeCell ref="B10:I10"/>
    <mergeCell ref="B29:I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Khu Đào Mỹ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2026-09-30T14:39:38Z</dcterms:created>
  <dcterms:modified xsi:type="dcterms:W3CDTF">2026-09-30T14:40:03Z</dcterms:modified>
</cp:coreProperties>
</file>